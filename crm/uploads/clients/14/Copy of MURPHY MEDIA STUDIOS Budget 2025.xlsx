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20"/>
  <workbookPr/>
  <mc:AlternateContent xmlns:mc="http://schemas.openxmlformats.org/markup-compatibility/2006">
    <mc:Choice Requires="x15">
      <x15ac:absPath xmlns:x15ac="http://schemas.microsoft.com/office/spreadsheetml/2010/11/ac" url="/Users/mosesmendoza/Dropbox (Personal)/Murphy Enterprises/Archive 2/For BAC1/"/>
    </mc:Choice>
  </mc:AlternateContent>
  <xr:revisionPtr revIDLastSave="0" documentId="8_{D5511F21-D61F-FC40-8A49-AC9C53DA6C57}" xr6:coauthVersionLast="47" xr6:coauthVersionMax="47" xr10:uidLastSave="{00000000-0000-0000-0000-000000000000}"/>
  <bookViews>
    <workbookView xWindow="0" yWindow="500" windowWidth="35840" windowHeight="20520" tabRatio="500" xr2:uid="{00000000-000D-0000-FFFF-FFFF00000000}"/>
  </bookViews>
  <sheets>
    <sheet name="Overall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93" i="1" l="1"/>
  <c r="G84" i="1"/>
  <c r="B93" i="1"/>
  <c r="D82" i="1"/>
  <c r="D93" i="1" s="1"/>
  <c r="D60" i="1"/>
  <c r="G60" i="1"/>
  <c r="F60" i="1"/>
  <c r="B60" i="1"/>
  <c r="G82" i="1"/>
  <c r="F82" i="1"/>
  <c r="E93" i="1"/>
  <c r="G92" i="1"/>
  <c r="G91" i="1"/>
  <c r="G90" i="1"/>
  <c r="G89" i="1"/>
  <c r="G88" i="1"/>
  <c r="G87" i="1"/>
  <c r="G86" i="1"/>
  <c r="G85" i="1"/>
  <c r="B82" i="1"/>
  <c r="E81" i="1"/>
  <c r="E80" i="1"/>
  <c r="E79" i="1"/>
  <c r="E78" i="1"/>
  <c r="E77" i="1"/>
  <c r="E76" i="1"/>
  <c r="E75" i="1"/>
  <c r="E74" i="1"/>
  <c r="E73" i="1"/>
  <c r="E72" i="1"/>
  <c r="E71" i="1"/>
  <c r="E70" i="1"/>
  <c r="E69" i="1"/>
  <c r="E68" i="1"/>
  <c r="E67" i="1"/>
  <c r="E66" i="1"/>
  <c r="E65" i="1"/>
  <c r="E64" i="1"/>
  <c r="E63" i="1"/>
  <c r="E62" i="1"/>
  <c r="E25" i="1"/>
  <c r="E24" i="1"/>
  <c r="E23" i="1"/>
  <c r="E60" i="1" s="1"/>
  <c r="F22" i="1"/>
  <c r="B22" i="1"/>
  <c r="D21" i="1"/>
  <c r="D20" i="1"/>
  <c r="D19" i="1"/>
  <c r="D18" i="1"/>
  <c r="D17" i="1"/>
  <c r="D16" i="1"/>
  <c r="G14" i="1"/>
  <c r="E13" i="1"/>
  <c r="E12" i="1"/>
  <c r="G10" i="1"/>
  <c r="E9" i="1"/>
  <c r="E8" i="1"/>
  <c r="D7" i="1"/>
  <c r="D6" i="1"/>
  <c r="D5" i="1"/>
  <c r="D4" i="1"/>
  <c r="D3" i="1"/>
  <c r="F94" i="1" l="1"/>
  <c r="E22" i="1"/>
  <c r="B94" i="1"/>
  <c r="G93" i="1"/>
  <c r="H60" i="1"/>
  <c r="E82" i="1"/>
  <c r="H82" i="1" s="1"/>
  <c r="D22" i="1"/>
  <c r="D94" i="1" s="1"/>
  <c r="G22" i="1"/>
  <c r="G94" i="1" l="1"/>
  <c r="H93" i="1"/>
  <c r="E94" i="1"/>
  <c r="H22" i="1"/>
  <c r="H94" i="1" l="1"/>
</calcChain>
</file>

<file path=xl/sharedStrings.xml><?xml version="1.0" encoding="utf-8"?>
<sst xmlns="http://schemas.openxmlformats.org/spreadsheetml/2006/main" count="147" uniqueCount="122">
  <si>
    <t>Category</t>
  </si>
  <si>
    <t>Total Approx Cost</t>
  </si>
  <si>
    <t>Description</t>
  </si>
  <si>
    <t>Real Estate</t>
  </si>
  <si>
    <t>Equipment</t>
  </si>
  <si>
    <t>Wages</t>
  </si>
  <si>
    <t>Other</t>
  </si>
  <si>
    <t>Buildings, Film &amp; Music Studio</t>
  </si>
  <si>
    <t>Music Studios</t>
  </si>
  <si>
    <t>Movie Theaters</t>
  </si>
  <si>
    <t>Land</t>
  </si>
  <si>
    <t>Business Offices</t>
  </si>
  <si>
    <t>For insect control</t>
  </si>
  <si>
    <t>Trailers</t>
  </si>
  <si>
    <t>For staff and actors (quarters, dressing, Hiar &amp; makeup, honey wagons,  wardrobe, grip &amp; electric, etc.)</t>
  </si>
  <si>
    <t xml:space="preserve">Construction Engineers / Architects / Electrical Engineers </t>
  </si>
  <si>
    <t xml:space="preserve">covers labor and fees, permitting, etc. </t>
  </si>
  <si>
    <t>Sewage treatment plan, water plant</t>
  </si>
  <si>
    <t xml:space="preserve">to serve entire property. </t>
  </si>
  <si>
    <t>Furnishings</t>
  </si>
  <si>
    <t xml:space="preserve">For all buildings </t>
  </si>
  <si>
    <t>HVAC</t>
  </si>
  <si>
    <t>a central chiller plant and loop system, to serve entire property. Build it modularly.</t>
  </si>
  <si>
    <t>Generators</t>
  </si>
  <si>
    <t>a central energy plant with U/G power grid, to serve entire property. Build it modularly.</t>
  </si>
  <si>
    <t>Fire Dept</t>
  </si>
  <si>
    <t>12,000 Square Feet, 2 story, 2 ladder trucks, 2 pumpers, 2 ambulances, misc equipment</t>
  </si>
  <si>
    <t>Medical Facility</t>
  </si>
  <si>
    <t>Urgent Care</t>
  </si>
  <si>
    <t>Helicopter Pad</t>
  </si>
  <si>
    <t>on grade, lights, fence, paving, striping, etc.</t>
  </si>
  <si>
    <t>10,000 Square Feet</t>
  </si>
  <si>
    <t>Guard Stations</t>
  </si>
  <si>
    <t>Central plus 6 distributed outposts</t>
  </si>
  <si>
    <t>Roads, paving, fencing, street lighting, etc.</t>
  </si>
  <si>
    <t xml:space="preserve"> Estimate $250,000 per acre. This number inlcudes improving 250 acres initially, for paving, streets, lights, storm water mgmnt, etc.</t>
  </si>
  <si>
    <t>TOTAL:</t>
  </si>
  <si>
    <t>Film Studio Equipment</t>
  </si>
  <si>
    <t>Medical Facility Equipment</t>
  </si>
  <si>
    <t>Fire Department Equipment</t>
  </si>
  <si>
    <t>Support Staff</t>
  </si>
  <si>
    <t>Production / Sound / Lighting / Video Crew</t>
  </si>
  <si>
    <t>Post Production Crew</t>
  </si>
  <si>
    <t>Insurance / Bond / Publicity / General Expenses</t>
  </si>
  <si>
    <t xml:space="preserve">Contingency </t>
  </si>
  <si>
    <t>Prop Crew</t>
  </si>
  <si>
    <t>Paint Crew</t>
  </si>
  <si>
    <t>Metal Crew</t>
  </si>
  <si>
    <t>Fabrication &amp; Construction</t>
  </si>
  <si>
    <t>Custom fabrication and construction flex moldings, fibergalss casting and more</t>
  </si>
  <si>
    <t>Labor</t>
  </si>
  <si>
    <t>Before and after prodcution with set construction, striking sets, clean up, and labor functions</t>
  </si>
  <si>
    <t>Art Department</t>
  </si>
  <si>
    <t>Production designers, art directors, production managers, coordinators, set decorators, and set dressers</t>
  </si>
  <si>
    <t>Security Personnel</t>
  </si>
  <si>
    <t>Maintenance Personnel</t>
  </si>
  <si>
    <t>Insect control</t>
  </si>
  <si>
    <t>Make-Up &amp; Hair Crew</t>
  </si>
  <si>
    <t>Technology Staff</t>
  </si>
  <si>
    <t>Story Rights &amp; Writing</t>
  </si>
  <si>
    <t>Assistants</t>
  </si>
  <si>
    <t>Food Service Crews</t>
  </si>
  <si>
    <t>Marketing &amp; Promotion Crews</t>
  </si>
  <si>
    <t>Project Managers</t>
  </si>
  <si>
    <t xml:space="preserve">Food  </t>
  </si>
  <si>
    <t>Amenities Staff</t>
  </si>
  <si>
    <t>Medical Staff</t>
  </si>
  <si>
    <t>Firefighters</t>
  </si>
  <si>
    <t>Graphic Design &amp; Sign Crew</t>
  </si>
  <si>
    <t>Costume Designers</t>
  </si>
  <si>
    <t>Drapery Crew</t>
  </si>
  <si>
    <t>Aviation Crew</t>
  </si>
  <si>
    <t>Uniforms</t>
  </si>
  <si>
    <t>Drivers</t>
  </si>
  <si>
    <t>Technical Equipment</t>
  </si>
  <si>
    <t>Cloud Storage</t>
  </si>
  <si>
    <t>Laptops / Computers</t>
  </si>
  <si>
    <t>Software (Office, Server, Security, etc)</t>
  </si>
  <si>
    <t>Security/Encryption (SIEM)</t>
  </si>
  <si>
    <t>Servers</t>
  </si>
  <si>
    <t>Backup software</t>
  </si>
  <si>
    <t>Cables / Fiber Optics</t>
  </si>
  <si>
    <t xml:space="preserve">Phones </t>
  </si>
  <si>
    <t xml:space="preserve">Office &amp; Cells </t>
  </si>
  <si>
    <t>Biometrics</t>
  </si>
  <si>
    <t>Video Surviellance</t>
  </si>
  <si>
    <t>Racks</t>
  </si>
  <si>
    <t>UPS</t>
  </si>
  <si>
    <t>Monitors</t>
  </si>
  <si>
    <t>Switches</t>
  </si>
  <si>
    <t>Router</t>
  </si>
  <si>
    <t>Firewall</t>
  </si>
  <si>
    <t>IDS/IPS</t>
  </si>
  <si>
    <t>Accounting Software</t>
  </si>
  <si>
    <t>Wireless Access Points</t>
  </si>
  <si>
    <t>Identity Management Software</t>
  </si>
  <si>
    <t xml:space="preserve">Administrative </t>
  </si>
  <si>
    <t>Legal</t>
  </si>
  <si>
    <t>Insurance</t>
  </si>
  <si>
    <t xml:space="preserve">Travel </t>
  </si>
  <si>
    <t>Consultant Fees</t>
  </si>
  <si>
    <t>GRAND TOTAL:</t>
  </si>
  <si>
    <t>General Expenses / Fringes / Administrative Fees/Property Tax</t>
  </si>
  <si>
    <t>Recreational Facility</t>
  </si>
  <si>
    <t>* Already accounted for</t>
  </si>
  <si>
    <t>Producers *</t>
  </si>
  <si>
    <t>Directors *</t>
  </si>
  <si>
    <t>Talent (Actors/Actresses) *</t>
  </si>
  <si>
    <t>*</t>
  </si>
  <si>
    <t xml:space="preserve">Entry Water Detention &amp; Retention </t>
  </si>
  <si>
    <t>Data Center</t>
  </si>
  <si>
    <t>Updated land acquisition cost at $70,000/acre for 2,400 acres.</t>
  </si>
  <si>
    <t>Includes purchase, inspection, renovation, and furnishing for Class A tower.</t>
  </si>
  <si>
    <t>10 music production &amp; recording studios - Studios A, B, and C</t>
  </si>
  <si>
    <t>2 theater cineplex with food service. Similar to Cinnebistro concept</t>
  </si>
  <si>
    <t>Inside &amp; Outside Film Sets / Town Center / Luxury Homes &amp; Condos</t>
  </si>
  <si>
    <t xml:space="preserve">34 sound stages, accompanying flex &amp; production office space, security, IT, furniture &amp; backlot similar to Universal Studios LA.  Mixed Use town center. A-listers and B-lister will be separate quarters.  </t>
  </si>
  <si>
    <t>Tier 4 Data Center, 250,000 Square Feet, 350MW.  This will be the premire data center for Murphy that will handle the Technology line of business. Will offer cloud services and streaming media services.</t>
  </si>
  <si>
    <t>Film Production Operations</t>
  </si>
  <si>
    <t>Music Production Operations</t>
  </si>
  <si>
    <t>Data Center Operations</t>
  </si>
  <si>
    <t>Distribution Operations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</si>
</sst>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0"/>
  </numFmts>
  <fonts count="12" x14ac:knownFonts="1">
    <font>
      <sz val="10"/>
      <name val="Arial"/>
      <charset val="1"/>
    </font>
    <font>
      <sz val="10"/>
      <name val="Arial"/>
      <family val="2"/>
    </font>
    <font>
      <sz val="12"/>
      <name val="Times New Roman"/>
      <family val="1"/>
      <charset val="1"/>
    </font>
    <font>
      <b/>
      <sz val="12"/>
      <name val="Times New Roman"/>
      <family val="1"/>
      <charset val="1"/>
    </font>
    <font>
      <b/>
      <sz val="11"/>
      <name val="Times New Roman"/>
      <family val="1"/>
      <charset val="1"/>
    </font>
    <font>
      <sz val="10"/>
      <name val="Arial"/>
      <family val="2"/>
      <charset val="1"/>
    </font>
    <font>
      <b/>
      <sz val="10"/>
      <name val="Arial"/>
      <family val="2"/>
      <charset val="1"/>
    </font>
    <font>
      <sz val="10"/>
      <name val="Times New Roman"/>
      <family val="1"/>
    </font>
    <font>
      <b/>
      <sz val="12"/>
      <name val="Times New Roman"/>
      <family val="1"/>
    </font>
    <font>
      <sz val="12"/>
      <name val="Times New Roman"/>
      <family val="1"/>
    </font>
    <font>
      <sz val="10"/>
      <color theme="1"/>
      <name val="Arial"/>
      <family val="2"/>
      <charset val="1"/>
    </font>
    <font>
      <sz val="12"/>
      <color theme="1"/>
      <name val="Times New Roman"/>
      <family val="1"/>
      <charset val="1"/>
    </font>
  </fonts>
  <fills count="8">
    <fill>
      <patternFill patternType="none"/>
    </fill>
    <fill>
      <patternFill patternType="gray125"/>
    </fill>
    <fill>
      <patternFill patternType="solid">
        <fgColor rgb="FFC0C0C0"/>
        <bgColor rgb="FFCCCCFF"/>
      </patternFill>
    </fill>
    <fill>
      <patternFill patternType="solid">
        <fgColor rgb="FFA6A6A6"/>
        <bgColor rgb="FFC0C0C0"/>
      </patternFill>
    </fill>
    <fill>
      <patternFill patternType="solid">
        <fgColor rgb="FFFFFF00"/>
        <bgColor indexed="64"/>
      </patternFill>
    </fill>
    <fill>
      <patternFill patternType="solid">
        <fgColor rgb="FFFFFF00"/>
        <bgColor rgb="FFCCCCFF"/>
      </patternFill>
    </fill>
    <fill>
      <patternFill patternType="solid">
        <fgColor rgb="FFFFFF00"/>
        <bgColor rgb="FFC0C0C0"/>
      </patternFill>
    </fill>
    <fill>
      <patternFill patternType="solid">
        <fgColor theme="0" tint="-0.3499862666707357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4" fontId="1" fillId="0" borderId="0" applyBorder="0" applyAlignment="0" applyProtection="0"/>
  </cellStyleXfs>
  <cellXfs count="47">
    <xf numFmtId="0" fontId="0" fillId="0" borderId="0" xfId="0"/>
    <xf numFmtId="0" fontId="2" fillId="0" borderId="0" xfId="0" applyFont="1"/>
    <xf numFmtId="0" fontId="3" fillId="0" borderId="1" xfId="0" applyFont="1" applyBorder="1" applyAlignment="1">
      <alignment wrapText="1"/>
    </xf>
    <xf numFmtId="0" fontId="4" fillId="2" borderId="1" xfId="0" applyFont="1" applyFill="1" applyBorder="1"/>
    <xf numFmtId="0" fontId="0" fillId="0" borderId="1" xfId="0" applyBorder="1"/>
    <xf numFmtId="164" fontId="2" fillId="0" borderId="1" xfId="0" applyNumberFormat="1" applyFont="1" applyBorder="1" applyAlignment="1">
      <alignment wrapText="1"/>
    </xf>
    <xf numFmtId="0" fontId="2" fillId="0" borderId="1" xfId="0" applyFont="1" applyBorder="1" applyAlignment="1">
      <alignment wrapText="1"/>
    </xf>
    <xf numFmtId="0" fontId="5" fillId="0" borderId="1" xfId="0" applyFont="1" applyBorder="1"/>
    <xf numFmtId="0" fontId="6" fillId="0" borderId="1" xfId="0" applyFont="1" applyBorder="1"/>
    <xf numFmtId="164" fontId="3" fillId="0" borderId="1" xfId="0" applyNumberFormat="1" applyFont="1" applyBorder="1" applyAlignment="1">
      <alignment wrapText="1"/>
    </xf>
    <xf numFmtId="10" fontId="3" fillId="2" borderId="1" xfId="0" applyNumberFormat="1" applyFont="1" applyFill="1" applyBorder="1" applyAlignment="1">
      <alignment wrapText="1"/>
    </xf>
    <xf numFmtId="164" fontId="3" fillId="3" borderId="1" xfId="0" applyNumberFormat="1" applyFont="1" applyFill="1" applyBorder="1" applyAlignment="1">
      <alignment wrapText="1"/>
    </xf>
    <xf numFmtId="0" fontId="6" fillId="3" borderId="1" xfId="0" applyFont="1" applyFill="1" applyBorder="1"/>
    <xf numFmtId="0" fontId="0" fillId="3" borderId="0" xfId="0" applyFill="1"/>
    <xf numFmtId="10" fontId="3" fillId="3" borderId="1" xfId="0" applyNumberFormat="1" applyFont="1" applyFill="1" applyBorder="1" applyAlignment="1">
      <alignment wrapText="1"/>
    </xf>
    <xf numFmtId="0" fontId="0" fillId="3" borderId="1" xfId="0" applyFill="1" applyBorder="1"/>
    <xf numFmtId="44" fontId="1" fillId="0" borderId="0" xfId="1"/>
    <xf numFmtId="0" fontId="7" fillId="0" borderId="0" xfId="0" applyFont="1"/>
    <xf numFmtId="164" fontId="8" fillId="0" borderId="1" xfId="0" applyNumberFormat="1" applyFont="1" applyBorder="1" applyAlignment="1">
      <alignment wrapText="1"/>
    </xf>
    <xf numFmtId="164" fontId="8" fillId="3" borderId="1" xfId="0" applyNumberFormat="1" applyFont="1" applyFill="1" applyBorder="1" applyAlignment="1">
      <alignment wrapText="1"/>
    </xf>
    <xf numFmtId="164" fontId="9" fillId="0" borderId="0" xfId="0" applyNumberFormat="1" applyFont="1"/>
    <xf numFmtId="44" fontId="9" fillId="0" borderId="0" xfId="1" applyFont="1"/>
    <xf numFmtId="0" fontId="9" fillId="0" borderId="0" xfId="0" applyFont="1"/>
    <xf numFmtId="44" fontId="9" fillId="0" borderId="1" xfId="1" applyFont="1" applyBorder="1" applyAlignment="1">
      <alignment wrapText="1"/>
    </xf>
    <xf numFmtId="164" fontId="8" fillId="3" borderId="0" xfId="0" applyNumberFormat="1" applyFont="1" applyFill="1"/>
    <xf numFmtId="0" fontId="9" fillId="3" borderId="0" xfId="0" applyFont="1" applyFill="1"/>
    <xf numFmtId="44" fontId="8" fillId="0" borderId="1" xfId="1" applyFont="1" applyBorder="1" applyAlignment="1">
      <alignment wrapText="1"/>
    </xf>
    <xf numFmtId="164" fontId="2" fillId="0" borderId="1" xfId="0" applyNumberFormat="1" applyFont="1" applyBorder="1" applyAlignment="1">
      <alignment horizontal="center" wrapText="1"/>
    </xf>
    <xf numFmtId="164" fontId="11" fillId="0" borderId="1" xfId="0" applyNumberFormat="1" applyFont="1" applyBorder="1" applyAlignment="1">
      <alignment wrapText="1"/>
    </xf>
    <xf numFmtId="0" fontId="10" fillId="0" borderId="1" xfId="0" applyFont="1" applyBorder="1"/>
    <xf numFmtId="0" fontId="4" fillId="2" borderId="1" xfId="0" applyFont="1" applyFill="1" applyBorder="1" applyAlignment="1">
      <alignment wrapText="1"/>
    </xf>
    <xf numFmtId="0" fontId="0" fillId="0" borderId="0" xfId="0" applyAlignment="1">
      <alignment wrapText="1"/>
    </xf>
    <xf numFmtId="0" fontId="0" fillId="2" borderId="1" xfId="0" applyFill="1" applyBorder="1" applyAlignment="1">
      <alignment wrapText="1"/>
    </xf>
    <xf numFmtId="0" fontId="2" fillId="3" borderId="1" xfId="0" applyFont="1" applyFill="1" applyBorder="1" applyAlignment="1">
      <alignment wrapText="1"/>
    </xf>
    <xf numFmtId="0" fontId="0" fillId="4" borderId="1" xfId="0" applyFill="1" applyBorder="1"/>
    <xf numFmtId="164" fontId="2" fillId="4" borderId="1" xfId="0" applyNumberFormat="1" applyFont="1" applyFill="1" applyBorder="1" applyAlignment="1">
      <alignment wrapText="1"/>
    </xf>
    <xf numFmtId="0" fontId="2" fillId="4" borderId="1" xfId="0" applyFont="1" applyFill="1" applyBorder="1" applyAlignment="1">
      <alignment wrapText="1"/>
    </xf>
    <xf numFmtId="0" fontId="5" fillId="4" borderId="1" xfId="0" applyFont="1" applyFill="1" applyBorder="1"/>
    <xf numFmtId="10" fontId="3" fillId="5" borderId="1" xfId="0" applyNumberFormat="1" applyFont="1" applyFill="1" applyBorder="1" applyAlignment="1">
      <alignment wrapText="1"/>
    </xf>
    <xf numFmtId="164" fontId="3" fillId="6" borderId="1" xfId="0" applyNumberFormat="1" applyFont="1" applyFill="1" applyBorder="1" applyAlignment="1">
      <alignment wrapText="1"/>
    </xf>
    <xf numFmtId="0" fontId="0" fillId="5" borderId="1" xfId="0" applyFill="1" applyBorder="1"/>
    <xf numFmtId="0" fontId="1" fillId="5" borderId="1" xfId="0" applyFont="1" applyFill="1" applyBorder="1" applyAlignment="1">
      <alignment wrapText="1"/>
    </xf>
    <xf numFmtId="0" fontId="6" fillId="6" borderId="1" xfId="0" applyFont="1" applyFill="1" applyBorder="1"/>
    <xf numFmtId="10" fontId="3" fillId="7" borderId="1" xfId="0" applyNumberFormat="1" applyFont="1" applyFill="1" applyBorder="1" applyAlignment="1">
      <alignment wrapText="1"/>
    </xf>
    <xf numFmtId="164" fontId="3" fillId="7" borderId="1" xfId="0" applyNumberFormat="1" applyFont="1" applyFill="1" applyBorder="1" applyAlignment="1">
      <alignment wrapText="1"/>
    </xf>
    <xf numFmtId="0" fontId="0" fillId="7" borderId="1" xfId="0" applyFill="1" applyBorder="1" applyAlignment="1">
      <alignment wrapText="1"/>
    </xf>
    <xf numFmtId="44" fontId="9" fillId="7" borderId="0" xfId="1" applyFont="1" applyFill="1"/>
  </cellXfs>
  <cellStyles count="2">
    <cellStyle name="Currency" xfId="1" builtinId="4"/>
    <cellStyle name="Normal" xfId="0" builtinId="0"/>
  </cellStyles>
  <dxfs count="0"/>
  <tableStyles count="0" defaultTableStyle="TableStyleMedium2" defaultPivotStyle="PivotStyleLight16"/>
  <colors>
    <indexedColors>
      <rgbColor rgb="FF000000"/>
      <rgbColor rgb="FFFFFFFF"/>
      <rgbColor rgb="FFCE181E"/>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5"/>
  <sheetViews>
    <sheetView tabSelected="1" topLeftCell="A64" zoomScaleNormal="100" workbookViewId="0">
      <selection activeCell="D61" sqref="D61:F61"/>
    </sheetView>
  </sheetViews>
  <sheetFormatPr baseColWidth="10" defaultColWidth="8.83203125" defaultRowHeight="16" x14ac:dyDescent="0.2"/>
  <cols>
    <col min="1" max="1" width="56.6640625" bestFit="1" customWidth="1"/>
    <col min="2" max="2" width="22.1640625" style="1" customWidth="1"/>
    <col min="3" max="3" width="107" style="31" bestFit="1" customWidth="1"/>
    <col min="4" max="4" width="18.6640625" bestFit="1" customWidth="1"/>
    <col min="5" max="5" width="18.1640625" customWidth="1"/>
    <col min="6" max="6" width="19.33203125" customWidth="1"/>
    <col min="7" max="7" width="17.6640625" customWidth="1"/>
    <col min="8" max="8" width="20.1640625" customWidth="1"/>
    <col min="9" max="1025" width="8.83203125" customWidth="1"/>
  </cols>
  <sheetData>
    <row r="1" spans="1:8" ht="65" customHeight="1" x14ac:dyDescent="0.2">
      <c r="A1" s="2" t="s">
        <v>0</v>
      </c>
      <c r="B1" s="2" t="s">
        <v>1</v>
      </c>
      <c r="C1" s="2" t="s">
        <v>2</v>
      </c>
      <c r="D1" s="2" t="s">
        <v>3</v>
      </c>
      <c r="E1" s="2" t="s">
        <v>4</v>
      </c>
      <c r="F1" s="2" t="s">
        <v>5</v>
      </c>
      <c r="G1" s="2" t="s">
        <v>6</v>
      </c>
    </row>
    <row r="2" spans="1:8" ht="22.5" customHeight="1" x14ac:dyDescent="0.15">
      <c r="A2" s="3" t="s">
        <v>7</v>
      </c>
      <c r="B2" s="3"/>
      <c r="C2" s="30"/>
      <c r="D2" s="3"/>
      <c r="E2" s="3"/>
      <c r="F2" s="3"/>
      <c r="G2" s="3"/>
      <c r="H2" s="17"/>
    </row>
    <row r="3" spans="1:8" ht="34" x14ac:dyDescent="0.2">
      <c r="A3" s="34" t="s">
        <v>115</v>
      </c>
      <c r="B3" s="35">
        <v>690000000</v>
      </c>
      <c r="C3" s="36" t="s">
        <v>116</v>
      </c>
      <c r="D3" s="20">
        <f t="shared" ref="D3:D7" si="0">B3</f>
        <v>690000000</v>
      </c>
      <c r="E3" s="21"/>
      <c r="F3" s="22"/>
      <c r="G3" s="22"/>
      <c r="H3" s="22"/>
    </row>
    <row r="4" spans="1:8" ht="17" x14ac:dyDescent="0.2">
      <c r="A4" s="34" t="s">
        <v>8</v>
      </c>
      <c r="B4" s="35">
        <v>7000000</v>
      </c>
      <c r="C4" s="36" t="s">
        <v>113</v>
      </c>
      <c r="D4" s="20">
        <f t="shared" si="0"/>
        <v>7000000</v>
      </c>
      <c r="E4" s="21"/>
      <c r="F4" s="22"/>
      <c r="G4" s="22"/>
      <c r="H4" s="22"/>
    </row>
    <row r="5" spans="1:8" ht="15.75" customHeight="1" x14ac:dyDescent="0.2">
      <c r="A5" s="4" t="s">
        <v>9</v>
      </c>
      <c r="B5" s="5">
        <v>13000000</v>
      </c>
      <c r="C5" s="6" t="s">
        <v>114</v>
      </c>
      <c r="D5" s="20">
        <f t="shared" si="0"/>
        <v>13000000</v>
      </c>
      <c r="E5" s="21"/>
      <c r="F5" s="22"/>
      <c r="G5" s="22"/>
      <c r="H5" s="22"/>
    </row>
    <row r="6" spans="1:8" ht="15.75" customHeight="1" x14ac:dyDescent="0.2">
      <c r="A6" s="34" t="s">
        <v>10</v>
      </c>
      <c r="B6" s="35">
        <v>168000000</v>
      </c>
      <c r="C6" s="36" t="s">
        <v>111</v>
      </c>
      <c r="D6" s="20">
        <f t="shared" si="0"/>
        <v>168000000</v>
      </c>
      <c r="E6" s="21"/>
      <c r="F6" s="22"/>
      <c r="G6" s="22"/>
      <c r="H6" s="22"/>
    </row>
    <row r="7" spans="1:8" ht="15.75" customHeight="1" x14ac:dyDescent="0.2">
      <c r="A7" s="37" t="s">
        <v>11</v>
      </c>
      <c r="B7" s="35">
        <v>106560000</v>
      </c>
      <c r="C7" s="36" t="s">
        <v>112</v>
      </c>
      <c r="D7" s="20">
        <f t="shared" si="0"/>
        <v>106560000</v>
      </c>
      <c r="E7" s="21"/>
      <c r="F7" s="22"/>
      <c r="G7" s="22"/>
      <c r="H7" s="22"/>
    </row>
    <row r="8" spans="1:8" ht="15.75" customHeight="1" x14ac:dyDescent="0.2">
      <c r="A8" s="7" t="s">
        <v>109</v>
      </c>
      <c r="B8" s="5">
        <v>8000000</v>
      </c>
      <c r="C8" s="6" t="s">
        <v>12</v>
      </c>
      <c r="D8" s="22"/>
      <c r="E8" s="21">
        <f>B8</f>
        <v>8000000</v>
      </c>
      <c r="F8" s="22"/>
      <c r="G8" s="22"/>
      <c r="H8" s="22"/>
    </row>
    <row r="9" spans="1:8" ht="17" x14ac:dyDescent="0.2">
      <c r="A9" s="7" t="s">
        <v>13</v>
      </c>
      <c r="B9" s="5">
        <v>4000000</v>
      </c>
      <c r="C9" s="6" t="s">
        <v>14</v>
      </c>
      <c r="D9" s="22"/>
      <c r="E9" s="21">
        <f>B9</f>
        <v>4000000</v>
      </c>
      <c r="F9" s="22"/>
      <c r="G9" s="22"/>
      <c r="H9" s="22"/>
    </row>
    <row r="10" spans="1:8" ht="15.75" customHeight="1" x14ac:dyDescent="0.2">
      <c r="A10" s="7" t="s">
        <v>15</v>
      </c>
      <c r="B10" s="5">
        <v>70000000</v>
      </c>
      <c r="C10" s="6" t="s">
        <v>16</v>
      </c>
      <c r="D10" s="22"/>
      <c r="E10" s="21"/>
      <c r="F10" s="22"/>
      <c r="G10" s="20">
        <f>B10</f>
        <v>70000000</v>
      </c>
      <c r="H10" s="22"/>
    </row>
    <row r="11" spans="1:8" ht="15.75" customHeight="1" x14ac:dyDescent="0.2">
      <c r="A11" s="7" t="s">
        <v>17</v>
      </c>
      <c r="B11" s="28">
        <v>2000000</v>
      </c>
      <c r="C11" s="6" t="s">
        <v>18</v>
      </c>
      <c r="D11" s="21">
        <v>2000000</v>
      </c>
      <c r="E11" s="21"/>
      <c r="F11" s="22"/>
      <c r="G11" s="22"/>
      <c r="H11" s="22"/>
    </row>
    <row r="12" spans="1:8" ht="15.75" customHeight="1" x14ac:dyDescent="0.2">
      <c r="A12" s="7" t="s">
        <v>19</v>
      </c>
      <c r="B12" s="5">
        <v>15000000</v>
      </c>
      <c r="C12" s="6" t="s">
        <v>20</v>
      </c>
      <c r="D12" s="22"/>
      <c r="E12" s="21">
        <f>B12</f>
        <v>15000000</v>
      </c>
      <c r="F12" s="22"/>
      <c r="G12" s="22"/>
      <c r="H12" s="22"/>
    </row>
    <row r="13" spans="1:8" ht="17" x14ac:dyDescent="0.2">
      <c r="A13" s="7" t="s">
        <v>21</v>
      </c>
      <c r="B13" s="28">
        <v>40000000</v>
      </c>
      <c r="C13" s="6" t="s">
        <v>22</v>
      </c>
      <c r="D13" s="22"/>
      <c r="E13" s="21">
        <f>B13</f>
        <v>40000000</v>
      </c>
      <c r="F13" s="22"/>
      <c r="G13" s="22"/>
      <c r="H13" s="22"/>
    </row>
    <row r="14" spans="1:8" ht="17" x14ac:dyDescent="0.2">
      <c r="A14" s="4" t="s">
        <v>23</v>
      </c>
      <c r="B14" s="28">
        <v>10000000</v>
      </c>
      <c r="C14" s="6" t="s">
        <v>24</v>
      </c>
      <c r="D14" s="22"/>
      <c r="E14" s="21"/>
      <c r="F14" s="22"/>
      <c r="G14" s="20">
        <f>B14</f>
        <v>10000000</v>
      </c>
      <c r="H14" s="22"/>
    </row>
    <row r="15" spans="1:8" ht="17" x14ac:dyDescent="0.2">
      <c r="A15" s="4" t="s">
        <v>25</v>
      </c>
      <c r="B15" s="28">
        <v>4500000</v>
      </c>
      <c r="C15" s="6" t="s">
        <v>26</v>
      </c>
      <c r="D15" s="20">
        <v>3000000</v>
      </c>
      <c r="E15" s="21">
        <v>1500000</v>
      </c>
      <c r="F15" s="22"/>
      <c r="G15" s="22"/>
      <c r="H15" s="22"/>
    </row>
    <row r="16" spans="1:8" ht="15.75" customHeight="1" x14ac:dyDescent="0.2">
      <c r="A16" s="4" t="s">
        <v>27</v>
      </c>
      <c r="B16" s="5">
        <v>5000000</v>
      </c>
      <c r="C16" s="6" t="s">
        <v>28</v>
      </c>
      <c r="D16" s="20">
        <f t="shared" ref="D16:D21" si="1">B16</f>
        <v>5000000</v>
      </c>
      <c r="E16" s="21"/>
      <c r="F16" s="22"/>
      <c r="G16" s="22"/>
      <c r="H16" s="22"/>
    </row>
    <row r="17" spans="1:8" ht="34" x14ac:dyDescent="0.2">
      <c r="A17" s="34" t="s">
        <v>110</v>
      </c>
      <c r="B17" s="35">
        <v>1000000000</v>
      </c>
      <c r="C17" s="36" t="s">
        <v>117</v>
      </c>
      <c r="D17" s="20">
        <f t="shared" si="1"/>
        <v>1000000000</v>
      </c>
      <c r="E17" s="21"/>
      <c r="F17" s="22"/>
      <c r="G17" s="22"/>
      <c r="H17" s="22"/>
    </row>
    <row r="18" spans="1:8" ht="15.75" customHeight="1" x14ac:dyDescent="0.2">
      <c r="A18" s="4" t="s">
        <v>29</v>
      </c>
      <c r="B18" s="5">
        <v>1500000</v>
      </c>
      <c r="C18" s="6" t="s">
        <v>30</v>
      </c>
      <c r="D18" s="20">
        <f t="shared" si="1"/>
        <v>1500000</v>
      </c>
      <c r="E18" s="21"/>
      <c r="F18" s="22"/>
      <c r="G18" s="22"/>
      <c r="H18" s="22"/>
    </row>
    <row r="19" spans="1:8" ht="15.75" customHeight="1" x14ac:dyDescent="0.2">
      <c r="A19" s="7" t="s">
        <v>103</v>
      </c>
      <c r="B19" s="5">
        <v>2000000</v>
      </c>
      <c r="C19" s="6" t="s">
        <v>31</v>
      </c>
      <c r="D19" s="20">
        <f t="shared" si="1"/>
        <v>2000000</v>
      </c>
      <c r="E19" s="21"/>
      <c r="F19" s="22"/>
      <c r="G19" s="22"/>
      <c r="H19" s="22"/>
    </row>
    <row r="20" spans="1:8" ht="17" x14ac:dyDescent="0.2">
      <c r="A20" s="4" t="s">
        <v>32</v>
      </c>
      <c r="B20" s="5">
        <v>4000000</v>
      </c>
      <c r="C20" s="6" t="s">
        <v>33</v>
      </c>
      <c r="D20" s="21">
        <f t="shared" si="1"/>
        <v>4000000</v>
      </c>
      <c r="E20" s="21"/>
      <c r="F20" s="21"/>
      <c r="G20" s="22"/>
      <c r="H20" s="22"/>
    </row>
    <row r="21" spans="1:8" ht="34" x14ac:dyDescent="0.2">
      <c r="A21" s="4" t="s">
        <v>34</v>
      </c>
      <c r="B21" s="5">
        <v>82000000</v>
      </c>
      <c r="C21" s="6" t="s">
        <v>35</v>
      </c>
      <c r="D21" s="21">
        <f t="shared" si="1"/>
        <v>82000000</v>
      </c>
      <c r="E21" s="21"/>
      <c r="F21" s="21"/>
      <c r="G21" s="22"/>
      <c r="H21" s="22"/>
    </row>
    <row r="22" spans="1:8" ht="16.5" customHeight="1" x14ac:dyDescent="0.2">
      <c r="A22" s="8" t="s">
        <v>36</v>
      </c>
      <c r="B22" s="9">
        <f>SUM(B3:B21)</f>
        <v>2232560000</v>
      </c>
      <c r="C22" s="6"/>
      <c r="D22" s="23">
        <f>SUM(D3:D21)</f>
        <v>2084060000</v>
      </c>
      <c r="E22" s="23">
        <f>SUM(E3:E21)</f>
        <v>68500000</v>
      </c>
      <c r="F22" s="23">
        <f>SUM(F3:F21)</f>
        <v>0</v>
      </c>
      <c r="G22" s="18">
        <f>SUM(G3:G21)</f>
        <v>80000000</v>
      </c>
      <c r="H22" s="18">
        <f>SUM(D22:G22)</f>
        <v>2232560000</v>
      </c>
    </row>
    <row r="23" spans="1:8" ht="16.5" customHeight="1" x14ac:dyDescent="0.2">
      <c r="A23" s="43" t="s">
        <v>37</v>
      </c>
      <c r="B23" s="44">
        <v>50000000</v>
      </c>
      <c r="C23" s="45"/>
      <c r="D23" s="21"/>
      <c r="E23" s="21">
        <f>B23</f>
        <v>50000000</v>
      </c>
      <c r="F23" s="21"/>
      <c r="G23" s="22"/>
      <c r="H23" s="22"/>
    </row>
    <row r="24" spans="1:8" ht="16.5" customHeight="1" x14ac:dyDescent="0.2">
      <c r="A24" s="10" t="s">
        <v>38</v>
      </c>
      <c r="B24" s="11">
        <v>20000000</v>
      </c>
      <c r="C24" s="32"/>
      <c r="D24" s="21"/>
      <c r="E24" s="21">
        <f>B24</f>
        <v>20000000</v>
      </c>
      <c r="F24" s="21"/>
      <c r="G24" s="22"/>
      <c r="H24" s="22"/>
    </row>
    <row r="25" spans="1:8" ht="16.5" customHeight="1" x14ac:dyDescent="0.2">
      <c r="A25" s="10" t="s">
        <v>39</v>
      </c>
      <c r="B25" s="11">
        <v>10000000</v>
      </c>
      <c r="C25" s="32"/>
      <c r="D25" s="21"/>
      <c r="E25" s="21">
        <f>B25</f>
        <v>10000000</v>
      </c>
      <c r="F25" s="21"/>
      <c r="G25" s="22"/>
      <c r="H25" s="22"/>
    </row>
    <row r="26" spans="1:8" ht="16.5" customHeight="1" x14ac:dyDescent="0.2">
      <c r="A26" s="38" t="s">
        <v>40</v>
      </c>
      <c r="B26" s="40"/>
      <c r="C26" s="41" t="s">
        <v>104</v>
      </c>
      <c r="D26" s="21"/>
      <c r="E26" s="21"/>
      <c r="F26" s="21"/>
      <c r="G26" s="22"/>
      <c r="H26" s="22"/>
    </row>
    <row r="27" spans="1:8" ht="16.5" customHeight="1" x14ac:dyDescent="0.2">
      <c r="A27" s="7" t="s">
        <v>105</v>
      </c>
      <c r="B27" s="27" t="s">
        <v>108</v>
      </c>
      <c r="C27" s="6"/>
      <c r="D27" s="21"/>
      <c r="E27" s="21"/>
      <c r="F27" s="21"/>
      <c r="G27" s="22"/>
      <c r="H27" s="22"/>
    </row>
    <row r="28" spans="1:8" ht="16.5" customHeight="1" x14ac:dyDescent="0.2">
      <c r="A28" s="7" t="s">
        <v>106</v>
      </c>
      <c r="B28" s="27" t="s">
        <v>108</v>
      </c>
      <c r="C28" s="6"/>
      <c r="D28" s="21"/>
      <c r="E28" s="21"/>
      <c r="F28" s="21"/>
      <c r="G28" s="22"/>
      <c r="H28" s="22"/>
    </row>
    <row r="29" spans="1:8" ht="16.5" customHeight="1" x14ac:dyDescent="0.2">
      <c r="A29" s="7" t="s">
        <v>107</v>
      </c>
      <c r="B29" s="27" t="s">
        <v>108</v>
      </c>
      <c r="C29" s="6"/>
      <c r="D29" s="21"/>
      <c r="E29" s="21"/>
      <c r="F29" s="21"/>
      <c r="G29" s="22"/>
      <c r="H29" s="22"/>
    </row>
    <row r="30" spans="1:8" ht="16.5" customHeight="1" x14ac:dyDescent="0.2">
      <c r="A30" s="7" t="s">
        <v>41</v>
      </c>
      <c r="B30" s="27" t="s">
        <v>108</v>
      </c>
      <c r="C30" s="6"/>
      <c r="D30" s="21"/>
      <c r="E30" s="21"/>
      <c r="F30" s="21"/>
      <c r="G30" s="22"/>
      <c r="H30" s="22"/>
    </row>
    <row r="31" spans="1:8" ht="16.5" customHeight="1" x14ac:dyDescent="0.2">
      <c r="A31" s="7" t="s">
        <v>42</v>
      </c>
      <c r="B31" s="27" t="s">
        <v>108</v>
      </c>
      <c r="C31" s="6"/>
      <c r="D31" s="21"/>
      <c r="E31" s="21"/>
      <c r="F31" s="21"/>
      <c r="G31" s="22"/>
      <c r="H31" s="22"/>
    </row>
    <row r="32" spans="1:8" ht="16.5" customHeight="1" x14ac:dyDescent="0.2">
      <c r="A32" s="7" t="s">
        <v>43</v>
      </c>
      <c r="B32" s="27" t="s">
        <v>108</v>
      </c>
      <c r="C32" s="6"/>
      <c r="D32" s="21"/>
      <c r="E32" s="21"/>
      <c r="F32" s="21"/>
      <c r="G32" s="22"/>
      <c r="H32" s="22"/>
    </row>
    <row r="33" spans="1:8" ht="16.5" customHeight="1" x14ac:dyDescent="0.2">
      <c r="A33" s="7" t="s">
        <v>44</v>
      </c>
      <c r="B33" s="27" t="s">
        <v>108</v>
      </c>
      <c r="C33" s="6"/>
      <c r="D33" s="21"/>
      <c r="E33" s="21"/>
      <c r="F33" s="21"/>
      <c r="G33" s="22"/>
      <c r="H33" s="22"/>
    </row>
    <row r="34" spans="1:8" ht="16.5" customHeight="1" x14ac:dyDescent="0.2">
      <c r="A34" s="7" t="s">
        <v>45</v>
      </c>
      <c r="B34" s="27" t="s">
        <v>108</v>
      </c>
      <c r="C34" s="6"/>
      <c r="D34" s="21"/>
      <c r="E34" s="21"/>
      <c r="F34" s="21"/>
      <c r="G34" s="22"/>
      <c r="H34" s="22"/>
    </row>
    <row r="35" spans="1:8" ht="16.5" customHeight="1" x14ac:dyDescent="0.2">
      <c r="A35" s="7" t="s">
        <v>46</v>
      </c>
      <c r="B35" s="27" t="s">
        <v>108</v>
      </c>
      <c r="C35" s="6"/>
      <c r="D35" s="21"/>
      <c r="E35" s="21"/>
      <c r="F35" s="21"/>
      <c r="G35" s="22"/>
      <c r="H35" s="22"/>
    </row>
    <row r="36" spans="1:8" ht="16.5" customHeight="1" x14ac:dyDescent="0.2">
      <c r="A36" s="7" t="s">
        <v>47</v>
      </c>
      <c r="B36" s="27" t="s">
        <v>108</v>
      </c>
      <c r="C36" s="6"/>
      <c r="D36" s="21"/>
      <c r="E36" s="21"/>
      <c r="F36" s="21"/>
      <c r="G36" s="22"/>
      <c r="H36" s="22"/>
    </row>
    <row r="37" spans="1:8" ht="17" x14ac:dyDescent="0.2">
      <c r="A37" s="7" t="s">
        <v>48</v>
      </c>
      <c r="B37" s="27" t="s">
        <v>108</v>
      </c>
      <c r="C37" s="6" t="s">
        <v>49</v>
      </c>
      <c r="D37" s="21"/>
      <c r="E37" s="21"/>
      <c r="F37" s="21"/>
      <c r="G37" s="22"/>
      <c r="H37" s="22"/>
    </row>
    <row r="38" spans="1:8" ht="17" x14ac:dyDescent="0.2">
      <c r="A38" s="7" t="s">
        <v>50</v>
      </c>
      <c r="B38" s="27" t="s">
        <v>108</v>
      </c>
      <c r="C38" s="6" t="s">
        <v>51</v>
      </c>
      <c r="D38" s="21"/>
      <c r="E38" s="21"/>
      <c r="F38" s="21"/>
      <c r="G38" s="22"/>
      <c r="H38" s="22"/>
    </row>
    <row r="39" spans="1:8" ht="17" x14ac:dyDescent="0.2">
      <c r="A39" s="7" t="s">
        <v>52</v>
      </c>
      <c r="B39" s="27" t="s">
        <v>108</v>
      </c>
      <c r="C39" s="6" t="s">
        <v>53</v>
      </c>
      <c r="D39" s="21"/>
      <c r="E39" s="21"/>
      <c r="F39" s="21"/>
      <c r="G39" s="22"/>
      <c r="H39" s="22"/>
    </row>
    <row r="40" spans="1:8" x14ac:dyDescent="0.2">
      <c r="A40" s="7" t="s">
        <v>54</v>
      </c>
      <c r="B40" s="28">
        <v>600000</v>
      </c>
      <c r="C40" s="6"/>
      <c r="D40" s="21"/>
      <c r="E40" s="21"/>
      <c r="F40" s="21">
        <v>600000</v>
      </c>
      <c r="G40" s="22"/>
      <c r="H40" s="22"/>
    </row>
    <row r="41" spans="1:8" x14ac:dyDescent="0.2">
      <c r="A41" s="7" t="s">
        <v>55</v>
      </c>
      <c r="B41" s="5">
        <v>500000</v>
      </c>
      <c r="C41" s="6"/>
      <c r="D41" s="21"/>
      <c r="E41" s="21"/>
      <c r="F41" s="21">
        <v>500000</v>
      </c>
      <c r="G41" s="22"/>
      <c r="H41" s="22"/>
    </row>
    <row r="42" spans="1:8" x14ac:dyDescent="0.2">
      <c r="A42" s="7" t="s">
        <v>56</v>
      </c>
      <c r="B42" s="5">
        <v>150000</v>
      </c>
      <c r="C42" s="6"/>
      <c r="D42" s="21"/>
      <c r="E42" s="21"/>
      <c r="F42" s="21">
        <v>150000</v>
      </c>
      <c r="G42" s="22"/>
      <c r="H42" s="22"/>
    </row>
    <row r="43" spans="1:8" ht="17" x14ac:dyDescent="0.2">
      <c r="A43" s="7" t="s">
        <v>57</v>
      </c>
      <c r="B43" s="27" t="s">
        <v>108</v>
      </c>
      <c r="C43" s="6"/>
      <c r="D43" s="21"/>
      <c r="E43" s="21"/>
      <c r="F43" s="21"/>
      <c r="G43" s="22"/>
      <c r="H43" s="22"/>
    </row>
    <row r="44" spans="1:8" x14ac:dyDescent="0.2">
      <c r="A44" s="7" t="s">
        <v>58</v>
      </c>
      <c r="B44" s="5">
        <v>50000000</v>
      </c>
      <c r="C44" s="6"/>
      <c r="D44" s="21"/>
      <c r="E44" s="21"/>
      <c r="F44" s="21">
        <v>5000000</v>
      </c>
      <c r="G44" s="22"/>
      <c r="H44" s="22"/>
    </row>
    <row r="45" spans="1:8" ht="17" x14ac:dyDescent="0.2">
      <c r="A45" s="7" t="s">
        <v>59</v>
      </c>
      <c r="B45" s="27" t="s">
        <v>108</v>
      </c>
      <c r="C45" s="6"/>
      <c r="D45" s="21"/>
      <c r="E45" s="21"/>
      <c r="F45" s="21"/>
      <c r="G45" s="22"/>
      <c r="H45" s="22"/>
    </row>
    <row r="46" spans="1:8" ht="17" x14ac:dyDescent="0.2">
      <c r="A46" s="7" t="s">
        <v>60</v>
      </c>
      <c r="B46" s="27" t="s">
        <v>108</v>
      </c>
      <c r="C46" s="6"/>
      <c r="D46" s="21"/>
      <c r="E46" s="21"/>
      <c r="F46" s="21"/>
      <c r="G46" s="22"/>
      <c r="H46" s="22"/>
    </row>
    <row r="47" spans="1:8" x14ac:dyDescent="0.2">
      <c r="A47" s="7" t="s">
        <v>61</v>
      </c>
      <c r="B47" s="5">
        <v>750000</v>
      </c>
      <c r="C47" s="6"/>
      <c r="D47" s="21"/>
      <c r="E47" s="21"/>
      <c r="F47" s="21">
        <v>750000</v>
      </c>
      <c r="G47" s="22"/>
      <c r="H47" s="22"/>
    </row>
    <row r="48" spans="1:8" x14ac:dyDescent="0.2">
      <c r="A48" s="7" t="s">
        <v>62</v>
      </c>
      <c r="B48" s="5">
        <v>1500000</v>
      </c>
      <c r="C48" s="6"/>
      <c r="D48" s="21"/>
      <c r="E48" s="21"/>
      <c r="F48" s="21">
        <v>1500000</v>
      </c>
      <c r="G48" s="22"/>
      <c r="H48" s="22"/>
    </row>
    <row r="49" spans="1:8" ht="17" x14ac:dyDescent="0.2">
      <c r="A49" s="7" t="s">
        <v>63</v>
      </c>
      <c r="B49" s="27" t="s">
        <v>108</v>
      </c>
      <c r="C49" s="6"/>
      <c r="D49" s="21"/>
      <c r="E49" s="21"/>
      <c r="F49" s="21"/>
      <c r="G49" s="22"/>
      <c r="H49" s="22"/>
    </row>
    <row r="50" spans="1:8" ht="17" x14ac:dyDescent="0.2">
      <c r="A50" s="7" t="s">
        <v>64</v>
      </c>
      <c r="B50" s="27" t="s">
        <v>108</v>
      </c>
      <c r="C50" s="6"/>
      <c r="D50" s="21"/>
      <c r="E50" s="21"/>
      <c r="F50" s="21"/>
      <c r="G50" s="22"/>
      <c r="H50" s="22"/>
    </row>
    <row r="51" spans="1:8" ht="17" x14ac:dyDescent="0.2">
      <c r="A51" s="7" t="s">
        <v>65</v>
      </c>
      <c r="B51" s="27" t="s">
        <v>108</v>
      </c>
      <c r="C51" s="6"/>
      <c r="D51" s="21"/>
      <c r="E51" s="21"/>
      <c r="F51" s="21"/>
      <c r="G51" s="22"/>
      <c r="H51" s="22"/>
    </row>
    <row r="52" spans="1:8" x14ac:dyDescent="0.2">
      <c r="A52" s="7" t="s">
        <v>66</v>
      </c>
      <c r="B52" s="5">
        <v>3250000</v>
      </c>
      <c r="C52" s="6"/>
      <c r="D52" s="21"/>
      <c r="E52" s="21"/>
      <c r="F52" s="21">
        <v>3250000</v>
      </c>
      <c r="G52" s="22"/>
      <c r="H52" s="22"/>
    </row>
    <row r="53" spans="1:8" x14ac:dyDescent="0.2">
      <c r="A53" s="7" t="s">
        <v>67</v>
      </c>
      <c r="B53" s="5">
        <v>1500000</v>
      </c>
      <c r="C53" s="6"/>
      <c r="D53" s="21"/>
      <c r="E53" s="21"/>
      <c r="F53" s="21">
        <v>1500000</v>
      </c>
      <c r="G53" s="22"/>
      <c r="H53" s="22"/>
    </row>
    <row r="54" spans="1:8" x14ac:dyDescent="0.2">
      <c r="A54" s="7" t="s">
        <v>68</v>
      </c>
      <c r="B54" s="5">
        <v>900000</v>
      </c>
      <c r="C54" s="6"/>
      <c r="D54" s="21"/>
      <c r="E54" s="21"/>
      <c r="F54" s="21">
        <v>900000</v>
      </c>
      <c r="G54" s="22"/>
      <c r="H54" s="22"/>
    </row>
    <row r="55" spans="1:8" ht="17" x14ac:dyDescent="0.2">
      <c r="A55" s="7" t="s">
        <v>69</v>
      </c>
      <c r="B55" s="27" t="s">
        <v>108</v>
      </c>
      <c r="C55" s="6"/>
      <c r="D55" s="21"/>
      <c r="E55" s="21"/>
      <c r="F55" s="21"/>
      <c r="G55" s="22"/>
      <c r="H55" s="22"/>
    </row>
    <row r="56" spans="1:8" ht="17" x14ac:dyDescent="0.2">
      <c r="A56" s="7" t="s">
        <v>70</v>
      </c>
      <c r="B56" s="27" t="s">
        <v>108</v>
      </c>
      <c r="C56" s="6"/>
      <c r="D56" s="21"/>
      <c r="E56" s="21"/>
      <c r="F56" s="21"/>
      <c r="G56" s="22"/>
      <c r="H56" s="22"/>
    </row>
    <row r="57" spans="1:8" ht="17" x14ac:dyDescent="0.2">
      <c r="A57" s="7" t="s">
        <v>71</v>
      </c>
      <c r="B57" s="27" t="s">
        <v>108</v>
      </c>
      <c r="C57" s="6"/>
      <c r="D57" s="21"/>
      <c r="E57" s="21"/>
      <c r="F57" s="21"/>
      <c r="G57" s="22"/>
      <c r="H57" s="22"/>
    </row>
    <row r="58" spans="1:8" x14ac:dyDescent="0.2">
      <c r="A58" s="7" t="s">
        <v>72</v>
      </c>
      <c r="B58" s="5">
        <v>300000</v>
      </c>
      <c r="C58" s="6"/>
      <c r="D58" s="21"/>
      <c r="E58" s="21"/>
      <c r="F58" s="21"/>
      <c r="G58" s="21">
        <v>300000</v>
      </c>
      <c r="H58" s="22"/>
    </row>
    <row r="59" spans="1:8" ht="17" x14ac:dyDescent="0.2">
      <c r="A59" s="7" t="s">
        <v>73</v>
      </c>
      <c r="B59" s="27" t="s">
        <v>108</v>
      </c>
      <c r="C59" s="6"/>
      <c r="D59" s="21"/>
      <c r="E59" s="21"/>
      <c r="F59" s="21"/>
      <c r="G59" s="22"/>
      <c r="H59" s="22"/>
    </row>
    <row r="60" spans="1:8" s="13" customFormat="1" x14ac:dyDescent="0.2">
      <c r="A60" s="42" t="s">
        <v>36</v>
      </c>
      <c r="B60" s="39">
        <f>SUM(B23:B59)</f>
        <v>139450000</v>
      </c>
      <c r="C60" s="33"/>
      <c r="D60" s="19">
        <f t="shared" ref="D60:G60" si="2">SUM(D23:D59)</f>
        <v>0</v>
      </c>
      <c r="E60" s="19">
        <f t="shared" si="2"/>
        <v>80000000</v>
      </c>
      <c r="F60" s="19">
        <f t="shared" si="2"/>
        <v>14150000</v>
      </c>
      <c r="G60" s="19">
        <f t="shared" si="2"/>
        <v>300000</v>
      </c>
      <c r="H60" s="24">
        <f>SUM(D60:G60)</f>
        <v>94450000</v>
      </c>
    </row>
    <row r="61" spans="1:8" s="13" customFormat="1" ht="17" x14ac:dyDescent="0.2">
      <c r="A61" s="14" t="s">
        <v>74</v>
      </c>
      <c r="B61" s="15"/>
      <c r="C61" s="33"/>
      <c r="D61" s="46"/>
      <c r="E61" s="46"/>
      <c r="F61" s="46"/>
      <c r="G61" s="25"/>
      <c r="H61" s="25"/>
    </row>
    <row r="62" spans="1:8" x14ac:dyDescent="0.2">
      <c r="A62" s="7" t="s">
        <v>75</v>
      </c>
      <c r="B62" s="5">
        <v>13000000</v>
      </c>
      <c r="C62" s="6"/>
      <c r="D62" s="21"/>
      <c r="E62" s="21">
        <f t="shared" ref="E62:E81" si="3">B62</f>
        <v>13000000</v>
      </c>
      <c r="F62" s="21"/>
      <c r="G62" s="22"/>
      <c r="H62" s="22"/>
    </row>
    <row r="63" spans="1:8" x14ac:dyDescent="0.2">
      <c r="A63" s="7" t="s">
        <v>76</v>
      </c>
      <c r="B63" s="5">
        <v>4000000</v>
      </c>
      <c r="C63" s="6"/>
      <c r="D63" s="21"/>
      <c r="E63" s="21">
        <f t="shared" si="3"/>
        <v>4000000</v>
      </c>
      <c r="F63" s="21"/>
      <c r="G63" s="22"/>
      <c r="H63" s="22"/>
    </row>
    <row r="64" spans="1:8" x14ac:dyDescent="0.2">
      <c r="A64" s="7" t="s">
        <v>77</v>
      </c>
      <c r="B64" s="5">
        <v>3000000</v>
      </c>
      <c r="C64" s="6"/>
      <c r="D64" s="21"/>
      <c r="E64" s="21">
        <f t="shared" si="3"/>
        <v>3000000</v>
      </c>
      <c r="F64" s="21"/>
      <c r="G64" s="22"/>
      <c r="H64" s="22"/>
    </row>
    <row r="65" spans="1:8" x14ac:dyDescent="0.2">
      <c r="A65" s="7" t="s">
        <v>78</v>
      </c>
      <c r="B65" s="5">
        <v>4000000</v>
      </c>
      <c r="C65" s="6"/>
      <c r="D65" s="21"/>
      <c r="E65" s="21">
        <f t="shared" si="3"/>
        <v>4000000</v>
      </c>
      <c r="F65" s="21"/>
      <c r="G65" s="22"/>
      <c r="H65" s="22"/>
    </row>
    <row r="66" spans="1:8" x14ac:dyDescent="0.2">
      <c r="A66" s="7" t="s">
        <v>79</v>
      </c>
      <c r="B66" s="5">
        <v>10000000</v>
      </c>
      <c r="C66" s="6"/>
      <c r="D66" s="21"/>
      <c r="E66" s="21">
        <f t="shared" si="3"/>
        <v>10000000</v>
      </c>
      <c r="F66" s="21"/>
      <c r="G66" s="22"/>
      <c r="H66" s="22"/>
    </row>
    <row r="67" spans="1:8" x14ac:dyDescent="0.2">
      <c r="A67" s="7" t="s">
        <v>80</v>
      </c>
      <c r="B67" s="5">
        <v>500000</v>
      </c>
      <c r="C67" s="6"/>
      <c r="D67" s="21"/>
      <c r="E67" s="21">
        <f t="shared" si="3"/>
        <v>500000</v>
      </c>
      <c r="F67" s="21"/>
      <c r="G67" s="22"/>
      <c r="H67" s="22"/>
    </row>
    <row r="68" spans="1:8" x14ac:dyDescent="0.2">
      <c r="A68" s="7" t="s">
        <v>81</v>
      </c>
      <c r="B68" s="5">
        <v>2000000</v>
      </c>
      <c r="C68" s="6"/>
      <c r="D68" s="21"/>
      <c r="E68" s="21">
        <f t="shared" si="3"/>
        <v>2000000</v>
      </c>
      <c r="F68" s="21"/>
      <c r="G68" s="22"/>
      <c r="H68" s="22"/>
    </row>
    <row r="69" spans="1:8" ht="17" x14ac:dyDescent="0.2">
      <c r="A69" s="7" t="s">
        <v>82</v>
      </c>
      <c r="B69" s="5">
        <v>250000</v>
      </c>
      <c r="C69" s="6" t="s">
        <v>83</v>
      </c>
      <c r="D69" s="21"/>
      <c r="E69" s="21">
        <f t="shared" si="3"/>
        <v>250000</v>
      </c>
      <c r="F69" s="21"/>
      <c r="G69" s="22"/>
      <c r="H69" s="22"/>
    </row>
    <row r="70" spans="1:8" x14ac:dyDescent="0.2">
      <c r="A70" s="7" t="s">
        <v>84</v>
      </c>
      <c r="B70" s="5">
        <v>325000</v>
      </c>
      <c r="C70" s="6"/>
      <c r="D70" s="21"/>
      <c r="E70" s="21">
        <f t="shared" si="3"/>
        <v>325000</v>
      </c>
      <c r="F70" s="21"/>
      <c r="G70" s="22"/>
      <c r="H70" s="22"/>
    </row>
    <row r="71" spans="1:8" x14ac:dyDescent="0.2">
      <c r="A71" s="7" t="s">
        <v>85</v>
      </c>
      <c r="B71" s="5">
        <v>250000</v>
      </c>
      <c r="C71" s="6"/>
      <c r="D71" s="21"/>
      <c r="E71" s="21">
        <f t="shared" si="3"/>
        <v>250000</v>
      </c>
      <c r="F71" s="21"/>
      <c r="G71" s="22"/>
      <c r="H71" s="22"/>
    </row>
    <row r="72" spans="1:8" x14ac:dyDescent="0.2">
      <c r="A72" s="7" t="s">
        <v>86</v>
      </c>
      <c r="B72" s="5">
        <v>5000000</v>
      </c>
      <c r="C72" s="6"/>
      <c r="D72" s="21"/>
      <c r="E72" s="21">
        <f t="shared" si="3"/>
        <v>5000000</v>
      </c>
      <c r="F72" s="21"/>
      <c r="G72" s="22"/>
      <c r="H72" s="22"/>
    </row>
    <row r="73" spans="1:8" x14ac:dyDescent="0.2">
      <c r="A73" s="7" t="s">
        <v>87</v>
      </c>
      <c r="B73" s="5">
        <v>400000</v>
      </c>
      <c r="C73" s="6"/>
      <c r="D73" s="21"/>
      <c r="E73" s="21">
        <f t="shared" si="3"/>
        <v>400000</v>
      </c>
      <c r="F73" s="21"/>
      <c r="G73" s="22"/>
      <c r="H73" s="22"/>
    </row>
    <row r="74" spans="1:8" x14ac:dyDescent="0.2">
      <c r="A74" s="7" t="s">
        <v>88</v>
      </c>
      <c r="B74" s="5">
        <v>500000</v>
      </c>
      <c r="C74" s="6"/>
      <c r="D74" s="21"/>
      <c r="E74" s="21">
        <f t="shared" si="3"/>
        <v>500000</v>
      </c>
      <c r="F74" s="21"/>
      <c r="G74" s="22"/>
      <c r="H74" s="22"/>
    </row>
    <row r="75" spans="1:8" x14ac:dyDescent="0.2">
      <c r="A75" s="7" t="s">
        <v>89</v>
      </c>
      <c r="B75" s="5">
        <v>5000000</v>
      </c>
      <c r="C75" s="6"/>
      <c r="D75" s="21"/>
      <c r="E75" s="21">
        <f t="shared" si="3"/>
        <v>5000000</v>
      </c>
      <c r="F75" s="21"/>
      <c r="G75" s="22"/>
      <c r="H75" s="22"/>
    </row>
    <row r="76" spans="1:8" x14ac:dyDescent="0.2">
      <c r="A76" s="7" t="s">
        <v>90</v>
      </c>
      <c r="B76" s="5">
        <v>6000000</v>
      </c>
      <c r="C76" s="6"/>
      <c r="D76" s="21"/>
      <c r="E76" s="21">
        <f t="shared" si="3"/>
        <v>6000000</v>
      </c>
      <c r="F76" s="21"/>
      <c r="G76" s="22"/>
      <c r="H76" s="22"/>
    </row>
    <row r="77" spans="1:8" x14ac:dyDescent="0.2">
      <c r="A77" s="7" t="s">
        <v>91</v>
      </c>
      <c r="B77" s="5">
        <v>350000</v>
      </c>
      <c r="C77" s="6"/>
      <c r="D77" s="21"/>
      <c r="E77" s="21">
        <f t="shared" si="3"/>
        <v>350000</v>
      </c>
      <c r="F77" s="21"/>
      <c r="G77" s="22"/>
      <c r="H77" s="22"/>
    </row>
    <row r="78" spans="1:8" x14ac:dyDescent="0.2">
      <c r="A78" s="7" t="s">
        <v>92</v>
      </c>
      <c r="B78" s="5">
        <v>200000</v>
      </c>
      <c r="C78" s="6"/>
      <c r="D78" s="21"/>
      <c r="E78" s="21">
        <f t="shared" si="3"/>
        <v>200000</v>
      </c>
      <c r="F78" s="21"/>
      <c r="G78" s="22"/>
      <c r="H78" s="22"/>
    </row>
    <row r="79" spans="1:8" x14ac:dyDescent="0.2">
      <c r="A79" s="7" t="s">
        <v>93</v>
      </c>
      <c r="B79" s="5">
        <v>150000</v>
      </c>
      <c r="C79" s="6"/>
      <c r="D79" s="21"/>
      <c r="E79" s="21">
        <f t="shared" si="3"/>
        <v>150000</v>
      </c>
      <c r="F79" s="21"/>
      <c r="G79" s="22"/>
      <c r="H79" s="22"/>
    </row>
    <row r="80" spans="1:8" x14ac:dyDescent="0.2">
      <c r="A80" s="7" t="s">
        <v>94</v>
      </c>
      <c r="B80" s="5">
        <v>200000</v>
      </c>
      <c r="C80" s="6"/>
      <c r="D80" s="21"/>
      <c r="E80" s="21">
        <f t="shared" si="3"/>
        <v>200000</v>
      </c>
      <c r="F80" s="21"/>
      <c r="G80" s="22"/>
      <c r="H80" s="22"/>
    </row>
    <row r="81" spans="1:8" x14ac:dyDescent="0.2">
      <c r="A81" s="7" t="s">
        <v>95</v>
      </c>
      <c r="B81" s="5">
        <v>250000</v>
      </c>
      <c r="C81" s="6"/>
      <c r="D81" s="21"/>
      <c r="E81" s="21">
        <f t="shared" si="3"/>
        <v>250000</v>
      </c>
      <c r="F81" s="21"/>
      <c r="G81" s="22"/>
      <c r="H81" s="22"/>
    </row>
    <row r="82" spans="1:8" s="13" customFormat="1" x14ac:dyDescent="0.2">
      <c r="A82" s="12" t="s">
        <v>36</v>
      </c>
      <c r="B82" s="11">
        <f>SUM(B62:B81)</f>
        <v>55375000</v>
      </c>
      <c r="C82" s="33"/>
      <c r="D82" s="23">
        <f>SUM(D62:D81)</f>
        <v>0</v>
      </c>
      <c r="E82" s="23">
        <f>SUM(E62:E81)</f>
        <v>55375000</v>
      </c>
      <c r="F82" s="23">
        <f t="shared" ref="F82:G82" si="4">SUM(F62:F81)</f>
        <v>0</v>
      </c>
      <c r="G82" s="23">
        <f t="shared" si="4"/>
        <v>0</v>
      </c>
      <c r="H82" s="24">
        <f>SUM(D82:G82)</f>
        <v>55375000</v>
      </c>
    </row>
    <row r="83" spans="1:8" s="13" customFormat="1" ht="17" x14ac:dyDescent="0.2">
      <c r="A83" s="14" t="s">
        <v>96</v>
      </c>
      <c r="B83" s="15"/>
      <c r="C83" s="33"/>
      <c r="D83" s="46"/>
      <c r="E83" s="46"/>
      <c r="F83" s="46"/>
      <c r="G83" s="25"/>
      <c r="H83" s="25"/>
    </row>
    <row r="84" spans="1:8" x14ac:dyDescent="0.2">
      <c r="A84" s="7" t="s">
        <v>97</v>
      </c>
      <c r="B84" s="5">
        <v>25000000</v>
      </c>
      <c r="C84" s="6"/>
      <c r="D84" s="21"/>
      <c r="F84" s="21"/>
      <c r="G84" s="21">
        <f t="shared" ref="G84:G92" si="5">B84</f>
        <v>25000000</v>
      </c>
      <c r="H84" s="22"/>
    </row>
    <row r="85" spans="1:8" x14ac:dyDescent="0.2">
      <c r="A85" s="7" t="s">
        <v>98</v>
      </c>
      <c r="B85" s="5">
        <v>10000000</v>
      </c>
      <c r="C85" s="6"/>
      <c r="D85" s="21"/>
      <c r="E85" s="22"/>
      <c r="F85" s="21"/>
      <c r="G85" s="21">
        <f t="shared" si="5"/>
        <v>10000000</v>
      </c>
      <c r="H85" s="22"/>
    </row>
    <row r="86" spans="1:8" x14ac:dyDescent="0.2">
      <c r="A86" s="7" t="s">
        <v>99</v>
      </c>
      <c r="B86" s="28">
        <v>50000000</v>
      </c>
      <c r="C86" s="6"/>
      <c r="D86" s="21"/>
      <c r="E86" s="22"/>
      <c r="F86" s="21"/>
      <c r="G86" s="21">
        <f t="shared" si="5"/>
        <v>50000000</v>
      </c>
      <c r="H86" s="22"/>
    </row>
    <row r="87" spans="1:8" x14ac:dyDescent="0.2">
      <c r="A87" s="7" t="s">
        <v>100</v>
      </c>
      <c r="B87" s="5">
        <v>7000000</v>
      </c>
      <c r="C87" s="6"/>
      <c r="D87" s="21"/>
      <c r="E87" s="22"/>
      <c r="F87" s="21"/>
      <c r="G87" s="21">
        <f t="shared" si="5"/>
        <v>7000000</v>
      </c>
      <c r="H87" s="22"/>
    </row>
    <row r="88" spans="1:8" x14ac:dyDescent="0.2">
      <c r="A88" s="7" t="s">
        <v>118</v>
      </c>
      <c r="B88" s="5">
        <v>514250000</v>
      </c>
      <c r="C88" s="6"/>
      <c r="D88" s="21"/>
      <c r="E88" s="22"/>
      <c r="F88" s="21"/>
      <c r="G88" s="21">
        <f t="shared" si="5"/>
        <v>514250000</v>
      </c>
      <c r="H88" s="22"/>
    </row>
    <row r="89" spans="1:8" x14ac:dyDescent="0.2">
      <c r="A89" s="7" t="s">
        <v>119</v>
      </c>
      <c r="B89" s="5">
        <v>414250000</v>
      </c>
      <c r="C89" s="6"/>
      <c r="D89" s="21"/>
      <c r="E89" s="22"/>
      <c r="F89" s="21"/>
      <c r="G89" s="21">
        <f t="shared" si="5"/>
        <v>414250000</v>
      </c>
      <c r="H89" s="22"/>
    </row>
    <row r="90" spans="1:8" x14ac:dyDescent="0.2">
      <c r="A90" s="7" t="s">
        <v>120</v>
      </c>
      <c r="B90" s="5">
        <v>514250000</v>
      </c>
      <c r="C90" s="6"/>
      <c r="D90" s="21"/>
      <c r="E90" s="22"/>
      <c r="F90" s="21"/>
      <c r="G90" s="21">
        <f t="shared" si="5"/>
        <v>514250000</v>
      </c>
      <c r="H90" s="22"/>
    </row>
    <row r="91" spans="1:8" x14ac:dyDescent="0.2">
      <c r="A91" s="7" t="s">
        <v>121</v>
      </c>
      <c r="B91" s="5">
        <v>314250000</v>
      </c>
      <c r="C91" s="6"/>
      <c r="D91" s="21"/>
      <c r="E91" s="22"/>
      <c r="F91" s="21"/>
      <c r="G91" s="21">
        <f t="shared" si="5"/>
        <v>314250000</v>
      </c>
      <c r="H91" s="22"/>
    </row>
    <row r="92" spans="1:8" x14ac:dyDescent="0.2">
      <c r="A92" s="29" t="s">
        <v>102</v>
      </c>
      <c r="B92" s="5">
        <v>266150000</v>
      </c>
      <c r="C92" s="6"/>
      <c r="D92" s="21"/>
      <c r="E92" s="22"/>
      <c r="F92" s="21"/>
      <c r="G92" s="21">
        <f t="shared" si="5"/>
        <v>266150000</v>
      </c>
      <c r="H92" s="22"/>
    </row>
    <row r="93" spans="1:8" s="13" customFormat="1" x14ac:dyDescent="0.2">
      <c r="A93" s="12" t="s">
        <v>36</v>
      </c>
      <c r="B93" s="11">
        <f>SUM(B84:B92)</f>
        <v>2115150000</v>
      </c>
      <c r="C93" s="33"/>
      <c r="D93" s="26">
        <f>SUM(D77:D92)</f>
        <v>0</v>
      </c>
      <c r="E93" s="26">
        <f>SUM(E84:E92)</f>
        <v>0</v>
      </c>
      <c r="F93" s="19">
        <f>SUM(F83:F92)</f>
        <v>0</v>
      </c>
      <c r="G93" s="19">
        <f>SUM(G84:G92)</f>
        <v>2115150000</v>
      </c>
      <c r="H93" s="24">
        <f>SUM(D93:G93)</f>
        <v>2115150000</v>
      </c>
    </row>
    <row r="94" spans="1:8" s="13" customFormat="1" x14ac:dyDescent="0.2">
      <c r="A94" s="12" t="s">
        <v>101</v>
      </c>
      <c r="B94" s="11">
        <f>SUM(B22,B60,B82,B93)</f>
        <v>4542535000</v>
      </c>
      <c r="C94" s="33"/>
      <c r="D94" s="19">
        <f>SUM(D22,D60,D82,D93)</f>
        <v>2084060000</v>
      </c>
      <c r="E94" s="19">
        <f>SUM(E22,E60,E82,E93)</f>
        <v>203875000</v>
      </c>
      <c r="F94" s="19">
        <f>SUM(F22,F60,F82,F93)</f>
        <v>14150000</v>
      </c>
      <c r="G94" s="19">
        <f>SUM(G22,G60,G82,G93)</f>
        <v>2195450000</v>
      </c>
      <c r="H94" s="19">
        <f>SUM(H22,H60,H82,H93)</f>
        <v>4497535000</v>
      </c>
    </row>
    <row r="95" spans="1:8" x14ac:dyDescent="0.2">
      <c r="D95" s="16"/>
      <c r="E95" s="16"/>
      <c r="F95" s="16"/>
    </row>
  </sheetData>
  <printOptions gridLines="1"/>
  <pageMargins left="0.25" right="0.25" top="0.75" bottom="0.75" header="0.51180555555555496" footer="0.51180555555555496"/>
  <pageSetup firstPageNumber="0" orientation="landscape" horizontalDpi="300" verticalDpi="300" r:id="rId1"/>
</worksheet>
</file>

<file path=docProps/app.xml><?xml version="1.0" encoding="utf-8"?>
<Properties xmlns="http://schemas.openxmlformats.org/officeDocument/2006/extended-properties" xmlns:vt="http://schemas.openxmlformats.org/officeDocument/2006/docPropsVTypes">
  <Template/>
  <TotalTime>14</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Overall Budget</vt:lpstr>
    </vt:vector>
  </TitlesOfParts>
  <Company>DIR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Tamra Gilbert</dc:creator>
  <dc:description/>
  <cp:lastModifiedBy>Moses Mendoza</cp:lastModifiedBy>
  <cp:revision>2</cp:revision>
  <cp:lastPrinted>2019-08-07T04:03:07Z</cp:lastPrinted>
  <dcterms:created xsi:type="dcterms:W3CDTF">2003-08-15T19:24:57Z</dcterms:created>
  <dcterms:modified xsi:type="dcterms:W3CDTF">2025-06-17T15:30:58Z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DIR</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